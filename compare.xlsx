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ria\Documents\universal-reconstruction-simulator\"/>
    </mc:Choice>
  </mc:AlternateContent>
  <xr:revisionPtr revIDLastSave="0" documentId="8_{660529BA-19F5-4D0E-9DC3-60F3412822EC}" xr6:coauthVersionLast="47" xr6:coauthVersionMax="47" xr10:uidLastSave="{00000000-0000-0000-0000-000000000000}"/>
  <bookViews>
    <workbookView xWindow="-98" yWindow="-98" windowWidth="21795" windowHeight="12975" xr2:uid="{184A42AC-67EE-49C9-9CB1-016B323BF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1" l="1"/>
  <c r="J12" i="1"/>
  <c r="J13" i="1"/>
  <c r="J11" i="1"/>
  <c r="I14" i="1"/>
  <c r="I12" i="1"/>
  <c r="I13" i="1"/>
  <c r="I11" i="1"/>
  <c r="H14" i="1"/>
  <c r="H12" i="1"/>
  <c r="H13" i="1"/>
  <c r="H11" i="1"/>
</calcChain>
</file>

<file path=xl/sharedStrings.xml><?xml version="1.0" encoding="utf-8"?>
<sst xmlns="http://schemas.openxmlformats.org/spreadsheetml/2006/main" count="33" uniqueCount="31">
  <si>
    <t>Calibration Real</t>
  </si>
  <si>
    <t>Calibration Unity</t>
  </si>
  <si>
    <t>Position Unity</t>
  </si>
  <si>
    <t>R</t>
  </si>
  <si>
    <t>0.5285077706327003,</t>
  </si>
  <si>
    <t>-0.01557557334014681,</t>
  </si>
  <si>
    <t>-0.8487855664983818;</t>
  </si>
  <si>
    <t>0.05740443389023485,</t>
  </si>
  <si>
    <t>0.9981989060174945,</t>
  </si>
  <si>
    <t>0.0174262731305041;</t>
  </si>
  <si>
    <t>0.8469853997269344,</t>
  </si>
  <si>
    <t>-0.05793397570168113,</t>
  </si>
  <si>
    <t>0.6061469376930261,</t>
  </si>
  <si>
    <t>0.01358048648158248,</t>
  </si>
  <si>
    <t>-0.7952367322453675;</t>
  </si>
  <si>
    <t>-0.007778855319614891,</t>
  </si>
  <si>
    <t>0.999907618258139,</t>
  </si>
  <si>
    <t>0.01114649537983028;</t>
  </si>
  <si>
    <t>0.7953146417206736,</t>
  </si>
  <si>
    <t>-0.0005703825555135496,</t>
  </si>
  <si>
    <t>0.6156613826751709,</t>
  </si>
  <si>
    <t>0,</t>
  </si>
  <si>
    <t>-0.7880109548568726;</t>
  </si>
  <si>
    <t>1,</t>
  </si>
  <si>
    <t>0;</t>
  </si>
  <si>
    <t>0.7880109548568726,</t>
  </si>
  <si>
    <t>t</t>
  </si>
  <si>
    <t>RMS</t>
  </si>
  <si>
    <t>0.13600804602531297,</t>
  </si>
  <si>
    <t>||Ta-Tb||</t>
  </si>
  <si>
    <t>ta -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</si>
</sst>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0B41-2670-4879-8386-B7C1136FE31C}">
  <dimension ref="A1:J14"/>
  <sheetViews>
    <sheetView tabSelected="1" topLeftCell="A5" workbookViewId="0">
      <selection activeCell="H10" sqref="H10"/>
    </sheetView>
  </sheetViews>
  <sheetFormatPr defaultRowHeight="14.25" x14ac:dyDescent="0.45"/>
  <cols>
    <col min="1" max="1" width="4.19921875" bestFit="1" customWidth="1"/>
    <col min="2" max="2" width="36.19921875" customWidth="1"/>
    <col min="3" max="3" width="32.19921875" customWidth="1"/>
    <col min="4" max="4" width="37.19921875" customWidth="1"/>
  </cols>
  <sheetData>
    <row r="1" spans="1:10" ht="28.5" x14ac:dyDescent="0.45">
      <c r="A1" s="1"/>
      <c r="B1" s="1" t="s">
        <v>0</v>
      </c>
      <c r="C1" s="1" t="s">
        <v>1</v>
      </c>
      <c r="D1" s="1" t="s">
        <v>2</v>
      </c>
    </row>
    <row r="2" spans="1:10" ht="42.75" x14ac:dyDescent="0.45">
      <c r="A2" s="2" t="s">
        <v>3</v>
      </c>
      <c r="B2" s="1" t="s">
        <v>4</v>
      </c>
      <c r="C2" s="1" t="s">
        <v>12</v>
      </c>
      <c r="D2" s="1" t="s">
        <v>20</v>
      </c>
    </row>
    <row r="3" spans="1:10" ht="57" x14ac:dyDescent="0.45">
      <c r="A3" s="2"/>
      <c r="B3" s="1" t="s">
        <v>5</v>
      </c>
      <c r="C3" s="1" t="s">
        <v>13</v>
      </c>
      <c r="D3" s="1" t="s">
        <v>21</v>
      </c>
    </row>
    <row r="4" spans="1:10" ht="57" x14ac:dyDescent="0.45">
      <c r="A4" s="2"/>
      <c r="B4" s="1" t="s">
        <v>6</v>
      </c>
      <c r="C4" s="1" t="s">
        <v>14</v>
      </c>
      <c r="D4" s="1" t="s">
        <v>22</v>
      </c>
    </row>
    <row r="5" spans="1:10" ht="57" x14ac:dyDescent="0.45">
      <c r="A5" s="2"/>
      <c r="B5" s="1" t="s">
        <v>7</v>
      </c>
      <c r="C5" s="1" t="s">
        <v>15</v>
      </c>
      <c r="D5" s="1" t="s">
        <v>21</v>
      </c>
    </row>
    <row r="6" spans="1:10" ht="42.75" x14ac:dyDescent="0.45">
      <c r="A6" s="2"/>
      <c r="B6" s="1" t="s">
        <v>8</v>
      </c>
      <c r="C6" s="1" t="s">
        <v>16</v>
      </c>
      <c r="D6" s="1" t="s">
        <v>23</v>
      </c>
    </row>
    <row r="7" spans="1:10" ht="42.75" x14ac:dyDescent="0.45">
      <c r="A7" s="2"/>
      <c r="B7" s="1" t="s">
        <v>9</v>
      </c>
      <c r="C7" s="1" t="s">
        <v>17</v>
      </c>
      <c r="D7" s="1" t="s">
        <v>24</v>
      </c>
    </row>
    <row r="8" spans="1:10" ht="42.75" x14ac:dyDescent="0.45">
      <c r="A8" s="2"/>
      <c r="B8" s="1" t="s">
        <v>10</v>
      </c>
      <c r="C8" s="1" t="s">
        <v>18</v>
      </c>
      <c r="D8" s="1" t="s">
        <v>25</v>
      </c>
    </row>
    <row r="9" spans="1:10" ht="57" x14ac:dyDescent="0.45">
      <c r="A9" s="2"/>
      <c r="B9" s="1" t="s">
        <v>11</v>
      </c>
      <c r="C9" s="1" t="s">
        <v>19</v>
      </c>
      <c r="D9" s="1" t="s">
        <v>21</v>
      </c>
    </row>
    <row r="10" spans="1:10" x14ac:dyDescent="0.45">
      <c r="A10" s="2"/>
      <c r="B10" s="1">
        <v>0.52844998543741295</v>
      </c>
      <c r="C10" s="1">
        <v>0.60619658142260802</v>
      </c>
      <c r="D10" s="1">
        <v>0.61566138267517001</v>
      </c>
      <c r="H10" t="s">
        <v>30</v>
      </c>
    </row>
    <row r="11" spans="1:10" x14ac:dyDescent="0.45">
      <c r="A11" s="2" t="s">
        <v>26</v>
      </c>
      <c r="B11" s="3">
        <v>1.28764817360418</v>
      </c>
      <c r="C11" s="3">
        <v>1.39717722203585</v>
      </c>
      <c r="D11" s="3">
        <v>1.3480000000000001</v>
      </c>
      <c r="H11" s="4">
        <f>C11-D11</f>
        <v>4.9177222035849955E-2</v>
      </c>
      <c r="I11" s="4">
        <f>B11-C11</f>
        <v>-0.10952904843167</v>
      </c>
      <c r="J11" s="4">
        <f>B11-D11</f>
        <v>-6.0351826395820041E-2</v>
      </c>
    </row>
    <row r="12" spans="1:10" x14ac:dyDescent="0.45">
      <c r="A12" s="2"/>
      <c r="B12" s="3">
        <v>4.3477619620784301E-2</v>
      </c>
      <c r="C12" s="3">
        <v>-5.47853802146335E-3</v>
      </c>
      <c r="D12" s="3">
        <v>0</v>
      </c>
      <c r="H12" s="4">
        <f t="shared" ref="H12:H13" si="0">C12-D12</f>
        <v>-5.47853802146335E-3</v>
      </c>
      <c r="I12" s="4">
        <f t="shared" ref="I12:I13" si="1">B12-C12</f>
        <v>4.8956157642247651E-2</v>
      </c>
      <c r="J12" s="4">
        <f t="shared" ref="J12:J13" si="2">B12-D12</f>
        <v>4.3477619620784301E-2</v>
      </c>
    </row>
    <row r="13" spans="1:10" x14ac:dyDescent="0.45">
      <c r="A13" s="2"/>
      <c r="B13" s="3">
        <v>0.749433334904681</v>
      </c>
      <c r="C13" s="3">
        <v>0.70841622593645204</v>
      </c>
      <c r="D13" s="3">
        <v>0.65800000000000003</v>
      </c>
      <c r="H13" s="4">
        <f t="shared" si="0"/>
        <v>5.0416225936452008E-2</v>
      </c>
      <c r="I13" s="4">
        <f t="shared" si="1"/>
        <v>4.1017108968228966E-2</v>
      </c>
      <c r="J13" s="4">
        <f t="shared" si="2"/>
        <v>9.1433334904680974E-2</v>
      </c>
    </row>
    <row r="14" spans="1:10" ht="42.75" x14ac:dyDescent="0.45">
      <c r="A14" s="1" t="s">
        <v>27</v>
      </c>
      <c r="B14" s="1" t="s">
        <v>28</v>
      </c>
      <c r="C14" s="1">
        <v>0.34050000000000002</v>
      </c>
      <c r="D14" s="1"/>
      <c r="G14" t="s">
        <v>29</v>
      </c>
      <c r="H14" s="4">
        <f>SQRT(H11^2+H12^2+H13^2)</f>
        <v>7.0641414083321419E-2</v>
      </c>
      <c r="I14" s="4">
        <f>SQRT(I11^2+I12^2+I13^2)</f>
        <v>0.12679006684102381</v>
      </c>
      <c r="J14" s="4">
        <f>SQRT(J11^2+J12^2+J13^2)</f>
        <v>0.11786730288333724</v>
      </c>
    </row>
  </sheetData>
  <mergeCells count="2">
    <mergeCell ref="A2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Itrat Herrera</dc:creator>
  <cp:lastModifiedBy>Valeria Itrat Herrera</cp:lastModifiedBy>
  <dcterms:created xsi:type="dcterms:W3CDTF">2026-06-24T19:55:39Z</dcterms:created>
  <dcterms:modified xsi:type="dcterms:W3CDTF">2026-06-24T21:20:55Z</dcterms:modified>
</cp:coreProperties>
</file>